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es2037_bath_ac_uk/Documents/Documents/Ernest/Calculations/Examples for SimpNMR/PCS_PD_Ln/YbL8/DATA/CHI/"/>
    </mc:Choice>
  </mc:AlternateContent>
  <xr:revisionPtr revIDLastSave="42" documentId="8_{32C4FD0B-A3C2-D248-B980-AEBC04F53571}" xr6:coauthVersionLast="47" xr6:coauthVersionMax="47" xr10:uidLastSave="{A6A5AA30-7296-3F46-B475-31FA3DB475DE}"/>
  <bookViews>
    <workbookView xWindow="13280" yWindow="3400" windowWidth="27640" windowHeight="16940" xr2:uid="{E484A059-7613-F84A-A4B0-45912AEE5963}"/>
  </bookViews>
  <sheets>
    <sheet name="Sheet1" sheetId="1" r:id="rId1"/>
  </sheets>
  <definedNames>
    <definedName name="OLE_LINK12" localSheetId="0">Sheet1!$M$15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C3" i="1"/>
  <c r="A1" i="1"/>
  <c r="I16" i="1"/>
  <c r="J16" i="1"/>
  <c r="I17" i="1"/>
  <c r="J17" i="1"/>
  <c r="I18" i="1"/>
  <c r="J18" i="1"/>
  <c r="I19" i="1"/>
  <c r="J19" i="1"/>
  <c r="I20" i="1"/>
  <c r="J20" i="1"/>
  <c r="J15" i="1"/>
  <c r="I15" i="1"/>
  <c r="I2" i="1"/>
  <c r="I1" i="1"/>
  <c r="I10" i="1"/>
</calcChain>
</file>

<file path=xl/sharedStrings.xml><?xml version="1.0" encoding="utf-8"?>
<sst xmlns="http://schemas.openxmlformats.org/spreadsheetml/2006/main" count="16" uniqueCount="15">
  <si>
    <t>dchi_ax</t>
  </si>
  <si>
    <t>T (K)</t>
  </si>
  <si>
    <t>mu_B ()</t>
  </si>
  <si>
    <t>mu_0</t>
  </si>
  <si>
    <t>CJ</t>
  </si>
  <si>
    <t>k_B (m2 kg s-2 K-1)</t>
  </si>
  <si>
    <t>A^3</t>
  </si>
  <si>
    <t>B20 in K</t>
  </si>
  <si>
    <t>Yb</t>
  </si>
  <si>
    <t>Dy</t>
  </si>
  <si>
    <t>Tb</t>
  </si>
  <si>
    <t>Ho</t>
  </si>
  <si>
    <t>Er</t>
  </si>
  <si>
    <t>Tm</t>
  </si>
  <si>
    <t>B22 in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</si>
</sst>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FD0FE-9A2E-DC40-81FE-B403868193AD}">
  <dimension ref="A1:M20"/>
  <sheetViews>
    <sheetView tabSelected="1" zoomScale="125" workbookViewId="0">
      <selection activeCell="C3" sqref="C3"/>
    </sheetView>
  </sheetViews>
  <sheetFormatPr baseColWidth="10" defaultRowHeight="16" x14ac:dyDescent="0.2"/>
  <cols>
    <col min="9" max="9" width="12.1640625" bestFit="1" customWidth="1"/>
  </cols>
  <sheetData>
    <row r="1" spans="1:13" x14ac:dyDescent="0.2">
      <c r="A1" s="2">
        <f>-I20/3+J20</f>
        <v>-2.9026490648568326E-2</v>
      </c>
      <c r="B1">
        <v>0</v>
      </c>
      <c r="C1">
        <v>0</v>
      </c>
      <c r="H1" t="s">
        <v>7</v>
      </c>
      <c r="I1">
        <f>-330*1.4</f>
        <v>-461.99999999999994</v>
      </c>
    </row>
    <row r="2" spans="1:13" x14ac:dyDescent="0.2">
      <c r="A2">
        <v>0</v>
      </c>
      <c r="B2" s="2">
        <f>-I20/3-J20</f>
        <v>-7.7403975062848893E-2</v>
      </c>
      <c r="C2">
        <v>0</v>
      </c>
      <c r="H2" t="s">
        <v>14</v>
      </c>
      <c r="I2">
        <f>-150*1.4</f>
        <v>-210</v>
      </c>
    </row>
    <row r="3" spans="1:13" x14ac:dyDescent="0.2">
      <c r="A3">
        <v>0</v>
      </c>
      <c r="B3">
        <v>0</v>
      </c>
      <c r="C3" s="2">
        <f>2/3*I20</f>
        <v>0.1064304657114172</v>
      </c>
    </row>
    <row r="4" spans="1:13" x14ac:dyDescent="0.2">
      <c r="I4" s="2"/>
    </row>
    <row r="6" spans="1:13" x14ac:dyDescent="0.2">
      <c r="H6" t="s">
        <v>1</v>
      </c>
      <c r="I6">
        <v>298</v>
      </c>
    </row>
    <row r="7" spans="1:13" x14ac:dyDescent="0.2">
      <c r="H7" t="s">
        <v>2</v>
      </c>
      <c r="I7" s="2">
        <v>9.2740100656999999E-24</v>
      </c>
    </row>
    <row r="8" spans="1:13" x14ac:dyDescent="0.2">
      <c r="H8" t="s">
        <v>3</v>
      </c>
      <c r="I8" s="2">
        <v>1.2566370612700001E-6</v>
      </c>
    </row>
    <row r="9" spans="1:13" x14ac:dyDescent="0.2">
      <c r="I9" s="1"/>
    </row>
    <row r="10" spans="1:13" x14ac:dyDescent="0.2">
      <c r="H10" t="s">
        <v>5</v>
      </c>
      <c r="I10">
        <f>1.380649 *10^-23</f>
        <v>1.3806490000000001E-23</v>
      </c>
    </row>
    <row r="14" spans="1:13" x14ac:dyDescent="0.2">
      <c r="H14" t="s">
        <v>4</v>
      </c>
      <c r="I14" t="s">
        <v>0</v>
      </c>
      <c r="J14" t="s">
        <v>0</v>
      </c>
      <c r="K14" t="s">
        <v>6</v>
      </c>
    </row>
    <row r="15" spans="1:13" x14ac:dyDescent="0.2">
      <c r="G15" t="s">
        <v>10</v>
      </c>
      <c r="H15" s="3">
        <v>-157.5</v>
      </c>
      <c r="I15" s="2">
        <f>-I$8*I$7^2*H15*I$1/(10*(I$10*I$6)*I$6)*10^30</f>
        <v>-0.64143361031434487</v>
      </c>
      <c r="J15" s="2">
        <f>-I$8*I$7^2*H15*I$2/(30*(I$10*I$6)*I$6)*10^30</f>
        <v>-9.7186910653688632E-2</v>
      </c>
      <c r="K15" s="3"/>
      <c r="L15" s="3"/>
      <c r="M15" s="3"/>
    </row>
    <row r="16" spans="1:13" x14ac:dyDescent="0.2">
      <c r="G16" t="s">
        <v>9</v>
      </c>
      <c r="H16" s="3">
        <v>-181</v>
      </c>
      <c r="I16" s="2">
        <f t="shared" ref="I16:I20" si="0">-I$8*I$7^2*H16*I$1/(10*(I$10*I$6)*I$6)*10^30</f>
        <v>-0.73713957756759618</v>
      </c>
      <c r="J16" s="2">
        <f t="shared" ref="J16:J20" si="1">-I$8*I$7^2*H16*I$2/(30*(I$10*I$6)*I$6)*10^30</f>
        <v>-0.11168781478296917</v>
      </c>
    </row>
    <row r="17" spans="7:10" x14ac:dyDescent="0.2">
      <c r="G17" t="s">
        <v>11</v>
      </c>
      <c r="H17" s="3">
        <v>-71.3</v>
      </c>
      <c r="I17" s="2">
        <f t="shared" si="0"/>
        <v>-0.29037597724071607</v>
      </c>
      <c r="J17" s="2">
        <f t="shared" si="1"/>
        <v>-4.3996360187987298E-2</v>
      </c>
    </row>
    <row r="18" spans="7:10" x14ac:dyDescent="0.2">
      <c r="G18" t="s">
        <v>12</v>
      </c>
      <c r="H18" s="3">
        <v>58.8</v>
      </c>
      <c r="I18" s="2">
        <f t="shared" si="0"/>
        <v>0.23946854785068869</v>
      </c>
      <c r="J18" s="2">
        <f t="shared" si="1"/>
        <v>3.6283113310710421E-2</v>
      </c>
    </row>
    <row r="19" spans="7:10" x14ac:dyDescent="0.2">
      <c r="G19" t="s">
        <v>13</v>
      </c>
      <c r="H19" s="3">
        <v>95.3</v>
      </c>
      <c r="I19" s="2">
        <f t="shared" si="0"/>
        <v>0.38811824166956865</v>
      </c>
      <c r="J19" s="2">
        <f t="shared" si="1"/>
        <v>5.8805794192358894E-2</v>
      </c>
    </row>
    <row r="20" spans="7:10" x14ac:dyDescent="0.2">
      <c r="G20" t="s">
        <v>8</v>
      </c>
      <c r="H20" s="3">
        <v>39.200000000000003</v>
      </c>
      <c r="I20" s="2">
        <f t="shared" si="0"/>
        <v>0.15964569856712582</v>
      </c>
      <c r="J20" s="2">
        <f t="shared" si="1"/>
        <v>2.4188742207140283E-2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Sheet1!OLE_LINK12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Elizaveta Suturina</dc:creator>
  <cp:lastModifiedBy>Elizaveta Suturina</cp:lastModifiedBy>
  <dcterms:created xsi:type="dcterms:W3CDTF">2025-11-27T12:46:37Z</dcterms:created>
  <dcterms:modified xsi:type="dcterms:W3CDTF">2025-12-02T15:39:51Z</dcterms:modified>
</cp:coreProperties>
</file>